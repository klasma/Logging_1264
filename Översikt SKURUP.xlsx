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51680-2024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45607</v>
      </c>
      <c r="E2" s="1" t="n">
        <v>46313</v>
      </c>
      <c r="F2" t="inlineStr">
        <is>
          <t>SKÅNE LÄN</t>
        </is>
      </c>
      <c r="G2" t="inlineStr">
        <is>
          <t>SKURUP</t>
        </is>
      </c>
      <c r="I2" t="n">
        <v>1.1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n">
        <v>0</v>
      </c>
      <c r="P2" t="n">
        <v>0</v>
      </c>
      <c r="Q2" t="n">
        <v>4</v>
      </c>
      <c r="R2" t="n">
        <v>3</v>
      </c>
      <c r="S2" t="n">
        <v>6</v>
      </c>
      <c r="T2" t="n">
        <v>30</v>
      </c>
      <c r="U2" t="n">
        <v>0</v>
      </c>
      <c r="V2" s="2" t="inlineStr">
        <is>
          <t>Ask
Skogsalm
Småvänderot
Gullpudra
Stor häxört
Skogsduva</t>
        </is>
      </c>
      <c r="W2">
        <f>HYPERLINK("https://klasma.github.io/Logging_1264/artfynd/A 51680-2024 artfynd.xlsx", "A 51680-2024")</f>
        <v/>
      </c>
      <c r="X2">
        <f>HYPERLINK("https://klasma.github.io/Logging_1264/kartor/A 51680-2024 karta.png", "A 51680-2024")</f>
        <v/>
      </c>
      <c r="Y2">
        <f>HYPERLINK("https://klasma.github.io/Logging_1264/kartor_geotiff/A 51680-2024 georefererad karta.tif", "A 51680-2024")</f>
        <v/>
      </c>
      <c r="AA2">
        <f>HYPERLINK("https://klasma.github.io/Logging_1264/klagomål/A 51680-2024 FSC-klagomål.docx", "A 51680-2024")</f>
        <v/>
      </c>
      <c r="AB2">
        <f>HYPERLINK("https://klasma.github.io/Logging_1264/klagomålsmail/A 51680-2024 FSC-klagomål mail.docx", "A 51680-2024")</f>
        <v/>
      </c>
      <c r="AC2">
        <f>HYPERLINK("https://klasma.github.io/Logging_1264/tillsyn/A 51680-2024 tillsynsbegäran.docx", "A 51680-2024")</f>
        <v/>
      </c>
      <c r="AD2">
        <f>HYPERLINK("https://klasma.github.io/Logging_1264/tillsynsmail/A 51680-2024 tillsynsbegäran mail.docx", "A 51680-2024")</f>
        <v/>
      </c>
    </row>
    <row r="3" ht="15" customHeight="1">
      <c r="A3" t="inlineStr">
        <is>
          <t>A 34310-2024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45524</v>
      </c>
      <c r="E3" s="1" t="n">
        <v>46313</v>
      </c>
      <c r="F3" t="inlineStr">
        <is>
          <t>SKÅNE LÄN</t>
        </is>
      </c>
      <c r="G3" t="inlineStr">
        <is>
          <t>SKURUP</t>
        </is>
      </c>
      <c r="I3" t="n">
        <v>4.8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2" t="inlineStr"/>
    </row>
    <row r="4" ht="15" customHeight="1">
      <c r="A4" t="inlineStr">
        <is>
          <t>A 25617-2024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45463</v>
      </c>
      <c r="E4" s="1" t="n">
        <v>46313</v>
      </c>
      <c r="F4" t="inlineStr">
        <is>
          <t>SKÅNE LÄN</t>
        </is>
      </c>
      <c r="G4" t="inlineStr">
        <is>
          <t>SKURUP</t>
        </is>
      </c>
      <c r="I4" t="n">
        <v>2.3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inlineStr"/>
    </row>
    <row r="5" ht="15" customHeight="1">
      <c r="A5" t="inlineStr">
        <is>
          <t>A 45983-2023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45196</v>
      </c>
      <c r="E5" s="1" t="n">
        <v>46313</v>
      </c>
      <c r="F5" t="inlineStr">
        <is>
          <t>SKÅNE LÄN</t>
        </is>
      </c>
      <c r="G5" t="inlineStr">
        <is>
          <t>SKURUP</t>
        </is>
      </c>
      <c r="I5" t="n">
        <v>0.6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54782-2022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44883</v>
      </c>
      <c r="E6" s="1" t="n">
        <v>46313</v>
      </c>
      <c r="F6" t="inlineStr">
        <is>
          <t>SKÅNE LÄN</t>
        </is>
      </c>
      <c r="G6" t="inlineStr">
        <is>
          <t>SKURUP</t>
        </is>
      </c>
      <c r="I6" t="n">
        <v>5.5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843-2024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45300</v>
      </c>
      <c r="E7" s="1" t="n">
        <v>46313</v>
      </c>
      <c r="F7" t="inlineStr">
        <is>
          <t>SKÅNE LÄN</t>
        </is>
      </c>
      <c r="G7" t="inlineStr">
        <is>
          <t>SKURUP</t>
        </is>
      </c>
      <c r="I7" t="n">
        <v>0.8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844-2024</t>
        </is>
      </c>
      <c r="B8" t="inlineStr">
        <is>
          <t>avverkningsanmälan</t>
        </is>
      </c>
      <c r="C8" t="inlineStr">
        <is>
          <t>Avverkning för annat ändamål</t>
        </is>
      </c>
      <c r="D8" s="1" t="n">
        <v>45300</v>
      </c>
      <c r="E8" s="1" t="n">
        <v>46313</v>
      </c>
      <c r="F8" t="inlineStr">
        <is>
          <t>SKÅNE LÄN</t>
        </is>
      </c>
      <c r="G8" t="inlineStr">
        <is>
          <t>SKURUP</t>
        </is>
      </c>
      <c r="I8" t="n">
        <v>1.2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>
      <c r="A9" t="inlineStr">
        <is>
          <t>A 38010-2026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46280</v>
      </c>
      <c r="E9" s="1" t="n">
        <v>46313</v>
      </c>
      <c r="F9" t="inlineStr">
        <is>
          <t>SKÅNE LÄN</t>
        </is>
      </c>
      <c r="G9" t="inlineStr">
        <is>
          <t>SKURUP</t>
        </is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2026-10-18T08:09:21Z</dcterms:created>
  <dcterms:modified xmlns:dcterms="http://purl.org/dc/terms/" xmlns:xsi="http://www.w3.org/2001/XMLSchema-instance" xsi:type="dcterms:W3CDTF">2026-10-18T08:09:21Z</dcterms:modified>
</cp:coreProperties>
</file>